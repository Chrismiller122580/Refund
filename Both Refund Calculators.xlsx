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532299-my.sharepoint.com/personal/jwallace_freedomwarranty_com/Documents/Desktop/"/>
    </mc:Choice>
  </mc:AlternateContent>
  <xr:revisionPtr revIDLastSave="0" documentId="14_{A81BC26C-1C6C-410F-9819-F556C6A1141B}" xr6:coauthVersionLast="47" xr6:coauthVersionMax="47" xr10:uidLastSave="{00000000-0000-0000-0000-000000000000}"/>
  <bookViews>
    <workbookView xWindow="3510" yWindow="1305" windowWidth="13440" windowHeight="14895" activeTab="1" xr2:uid="{78F23CE3-4FD4-4DA4-83F8-B4A717A7CFB9}"/>
  </bookViews>
  <sheets>
    <sheet name="Freedom" sheetId="1" r:id="rId1"/>
    <sheet name="GAP" sheetId="2" r:id="rId2"/>
  </sheets>
  <definedNames>
    <definedName name="_xlnm.Print_Area" localSheetId="0">Freedom!$B$1:$I$36</definedName>
    <definedName name="_xlnm.Print_Area" localSheetId="1">GAP!$C$2:$J$32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14" i="2" l="1"/>
  <c r="H24" i="2" s="1"/>
  <c r="D32" i="2" s="1"/>
  <c r="G24" i="2" l="1"/>
  <c r="I24" i="2" s="1"/>
  <c r="E32" i="2" s="1"/>
  <c r="F32" i="2" s="1"/>
  <c r="D26" i="1"/>
  <c r="H7" i="1"/>
  <c r="E28" i="1"/>
  <c r="D16" i="1"/>
  <c r="D14" i="1" l="1"/>
  <c r="H8" i="1" l="1"/>
  <c r="H9" i="1"/>
  <c r="H10" i="1"/>
  <c r="H11" i="1"/>
  <c r="H4" i="1"/>
  <c r="H5" i="1"/>
  <c r="H6" i="1"/>
  <c r="H3" i="1"/>
  <c r="E16" i="1"/>
  <c r="G28" i="1" s="1"/>
  <c r="C36" i="1" s="1"/>
  <c r="F28" i="1" l="1"/>
  <c r="H28" i="1" s="1"/>
  <c r="D36" i="1" s="1"/>
  <c r="E26" i="1"/>
  <c r="G26" i="1" s="1"/>
  <c r="F26" i="1" l="1"/>
  <c r="H26" i="1" s="1"/>
  <c r="D35" i="1" s="1"/>
  <c r="C35" i="1"/>
  <c r="E35" i="1" l="1"/>
  <c r="E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Tarah</author>
  </authors>
  <commentList>
    <comment ref="B28" authorId="0" shapeId="0" xr:uid="{476A0D2A-17C4-4BAE-A574-25585BAAB3B6}">
      <text>
        <r>
          <rPr>
            <b/>
            <sz val="9"/>
            <color indexed="81"/>
            <rFont val="Tahoma"/>
            <family val="2"/>
          </rPr>
          <t>Tarah:</t>
        </r>
        <r>
          <rPr>
            <sz val="9"/>
            <color indexed="81"/>
            <rFont val="Tahoma"/>
            <family val="2"/>
          </rPr>
          <t xml:space="preserve">
Difference Between our cost and the retail cost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tc={CD3DE7D0-38E2-47F7-B1DC-58065AA0E1A8}</author>
    <author>tc={A8506ADE-CD3F-489B-B98A-97674CE3A94E}</author>
  </authors>
  <commentList>
    <comment ref="C15" authorId="0" shapeId="0" xr:uid="{CD3DE7D0-38E2-47F7-B1DC-58065AA0E1A8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term days are not in table you will use formula below.
Months divided by 12 = total
total multiplied by 365 = term days</t>
      </text>
    </comment>
    <comment ref="C24" authorId="1" shapeId="0" xr:uid="{A8506ADE-CD3F-489B-B98A-97674CE3A94E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Difference between Freedom Warranty's cost to the client and the clients retail.</t>
      </text>
    </comment>
  </commentList>
</comments>
</file>

<file path=xl/sharedStrings.xml><?xml version="1.0" encoding="utf-8"?>
<sst xmlns="http://schemas.openxmlformats.org/spreadsheetml/2006/main" count="68" uniqueCount="44">
  <si>
    <t>Freedom Refund Calculator</t>
  </si>
  <si>
    <t>Terms</t>
  </si>
  <si>
    <t>Months</t>
  </si>
  <si>
    <t>Miles</t>
  </si>
  <si>
    <t>Days</t>
  </si>
  <si>
    <t>Column1</t>
  </si>
  <si>
    <t>3 Months</t>
  </si>
  <si>
    <t>6 Months</t>
  </si>
  <si>
    <t>12 Months</t>
  </si>
  <si>
    <t>24 Months</t>
  </si>
  <si>
    <t>36 Months</t>
  </si>
  <si>
    <t>48 Months</t>
  </si>
  <si>
    <t>60 Months</t>
  </si>
  <si>
    <t>72 Months</t>
  </si>
  <si>
    <t>84 Months</t>
  </si>
  <si>
    <t>Start Mileage</t>
  </si>
  <si>
    <t>Mile cap</t>
  </si>
  <si>
    <t>End Mileage</t>
  </si>
  <si>
    <t># Miles Driven</t>
  </si>
  <si>
    <t># of Days</t>
  </si>
  <si>
    <t>Contract Term Miles</t>
  </si>
  <si>
    <t>Contract Term Days</t>
  </si>
  <si>
    <t>Start Date</t>
  </si>
  <si>
    <t>End Date</t>
  </si>
  <si>
    <t>Cost</t>
  </si>
  <si>
    <t>Mileage Per Day</t>
  </si>
  <si>
    <t>Cost of One Mile</t>
  </si>
  <si>
    <t>Our %</t>
  </si>
  <si>
    <t>FW Prorated Profit</t>
  </si>
  <si>
    <t>Client Prorated Profit</t>
  </si>
  <si>
    <t>Mark up</t>
  </si>
  <si>
    <t>Days Per Diem</t>
  </si>
  <si>
    <t>Approved claim Amt</t>
  </si>
  <si>
    <t>Amount Sent to Client</t>
  </si>
  <si>
    <t>Amt of Client Refund to Customer</t>
  </si>
  <si>
    <t>Total Customer will receive:</t>
  </si>
  <si>
    <t>Refund per Miles</t>
  </si>
  <si>
    <t>Refund per Days</t>
  </si>
  <si>
    <t>GAP Refund Calculator</t>
  </si>
  <si>
    <t>Contract Term Days:</t>
  </si>
  <si>
    <t>'What FW pays to Classic! The Amount on Classic breakdown sheet !</t>
  </si>
  <si>
    <t>RETAIL-COST IN FW</t>
  </si>
  <si>
    <t>Obtain from Classic refund sheet!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</si>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</sst>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00000_);_(&quot;$&quot;* \(#,##0.000000000\);_(&quot;$&quot;* &quot;-&quot;?????????_);_(@_)"/>
    <numFmt numFmtId="165" formatCode="_(* #,##0_);_(* \(#,##0\);_(* &quot;-&quot;??_);_(@_)"/>
    <numFmt numFmtId="166" formatCode="[$-10409]mm/dd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9"/>
      <color rgb="FF222222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4" borderId="0" applyNumberFormat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3" applyFill="1" applyBorder="1" applyAlignment="1"/>
    <xf numFmtId="0" fontId="2" fillId="0" borderId="0" xfId="3" applyBorder="1" applyAlignment="1"/>
    <xf numFmtId="165" fontId="2" fillId="2" borderId="0" xfId="5" applyNumberFormat="1" applyFont="1" applyFill="1" applyBorder="1" applyAlignment="1"/>
    <xf numFmtId="14" fontId="0" fillId="0" borderId="0" xfId="0" applyNumberFormat="1"/>
    <xf numFmtId="0" fontId="3" fillId="0" borderId="0" xfId="0" applyFont="1"/>
    <xf numFmtId="165" fontId="12" fillId="0" borderId="0" xfId="5" applyNumberFormat="1" applyFont="1" applyBorder="1" applyAlignment="1"/>
    <xf numFmtId="0" fontId="8" fillId="0" borderId="0" xfId="0" applyFont="1"/>
    <xf numFmtId="44" fontId="0" fillId="0" borderId="0" xfId="0" applyNumberFormat="1"/>
    <xf numFmtId="44" fontId="0" fillId="0" borderId="0" xfId="1" applyFont="1" applyAlignment="1"/>
    <xf numFmtId="43" fontId="12" fillId="0" borderId="0" xfId="0" applyNumberFormat="1" applyFont="1"/>
    <xf numFmtId="164" fontId="12" fillId="0" borderId="0" xfId="0" applyNumberFormat="1" applyFont="1"/>
    <xf numFmtId="10" fontId="0" fillId="0" borderId="0" xfId="0" applyNumberFormat="1"/>
    <xf numFmtId="44" fontId="12" fillId="0" borderId="0" xfId="1" applyFont="1" applyBorder="1" applyAlignment="1"/>
    <xf numFmtId="164" fontId="0" fillId="0" borderId="0" xfId="0" applyNumberFormat="1"/>
    <xf numFmtId="9" fontId="0" fillId="0" borderId="0" xfId="2" applyFont="1" applyBorder="1" applyAlignment="1"/>
    <xf numFmtId="44" fontId="3" fillId="0" borderId="0" xfId="0" applyNumberFormat="1" applyFont="1"/>
    <xf numFmtId="44" fontId="9" fillId="4" borderId="0" xfId="1" applyFont="1" applyFill="1" applyBorder="1" applyAlignment="1"/>
    <xf numFmtId="0" fontId="14" fillId="0" borderId="0" xfId="0" quotePrefix="1" applyFont="1"/>
    <xf numFmtId="44" fontId="12" fillId="0" borderId="0" xfId="1" applyFont="1" applyFill="1" applyBorder="1" applyAlignment="1"/>
    <xf numFmtId="0" fontId="0" fillId="0" borderId="1" xfId="0" applyBorder="1"/>
    <xf numFmtId="0" fontId="2" fillId="2" borderId="0" xfId="3" applyFill="1" applyBorder="1" applyAlignment="1">
      <alignment horizontal="center"/>
    </xf>
    <xf numFmtId="44" fontId="9" fillId="4" borderId="1" xfId="4" applyNumberFormat="1" applyFont="1" applyBorder="1" applyAlignment="1"/>
    <xf numFmtId="44" fontId="0" fillId="0" borderId="1" xfId="0" applyNumberFormat="1" applyBorder="1"/>
    <xf numFmtId="0" fontId="0" fillId="0" borderId="3" xfId="0" applyBorder="1"/>
    <xf numFmtId="44" fontId="0" fillId="0" borderId="3" xfId="1" applyFont="1" applyBorder="1" applyAlignment="1"/>
    <xf numFmtId="44" fontId="0" fillId="0" borderId="2" xfId="1" applyFont="1" applyBorder="1" applyAlignment="1"/>
    <xf numFmtId="0" fontId="0" fillId="0" borderId="4" xfId="0" applyBorder="1"/>
    <xf numFmtId="0" fontId="3" fillId="0" borderId="4" xfId="0" applyFont="1" applyBorder="1"/>
    <xf numFmtId="165" fontId="11" fillId="0" borderId="4" xfId="5" applyNumberFormat="1" applyFont="1" applyFill="1" applyBorder="1" applyAlignment="1"/>
    <xf numFmtId="14" fontId="14" fillId="3" borderId="4" xfId="0" applyNumberFormat="1" applyFont="1" applyFill="1" applyBorder="1"/>
    <xf numFmtId="44" fontId="14" fillId="3" borderId="4" xfId="1" applyFont="1" applyFill="1" applyBorder="1" applyAlignment="1"/>
    <xf numFmtId="44" fontId="3" fillId="0" borderId="4" xfId="1" applyFont="1" applyBorder="1" applyAlignment="1"/>
    <xf numFmtId="44" fontId="0" fillId="0" borderId="4" xfId="1" applyFont="1" applyFill="1" applyBorder="1" applyAlignment="1"/>
    <xf numFmtId="0" fontId="3" fillId="0" borderId="5" xfId="0" applyFont="1" applyBorder="1"/>
    <xf numFmtId="0" fontId="3" fillId="0" borderId="3" xfId="0" applyFont="1" applyBorder="1"/>
    <xf numFmtId="165" fontId="11" fillId="3" borderId="4" xfId="5" applyNumberFormat="1" applyFont="1" applyFill="1" applyBorder="1" applyAlignment="1"/>
    <xf numFmtId="165" fontId="0" fillId="3" borderId="4" xfId="5" applyNumberFormat="1" applyFont="1" applyFill="1" applyBorder="1" applyAlignment="1"/>
    <xf numFmtId="14" fontId="11" fillId="3" borderId="4" xfId="0" applyNumberFormat="1" applyFont="1" applyFill="1" applyBorder="1"/>
    <xf numFmtId="14" fontId="4" fillId="3" borderId="4" xfId="0" applyNumberFormat="1" applyFont="1" applyFill="1" applyBorder="1"/>
    <xf numFmtId="44" fontId="0" fillId="3" borderId="4" xfId="1" applyFont="1" applyFill="1" applyBorder="1" applyAlignment="1"/>
    <xf numFmtId="4" fontId="13" fillId="3" borderId="4" xfId="0" applyNumberFormat="1" applyFont="1" applyFill="1" applyBorder="1"/>
    <xf numFmtId="0" fontId="0" fillId="0" borderId="4" xfId="0" applyBorder="1" applyAlignment="1">
      <alignment horizontal="center"/>
    </xf>
    <xf numFmtId="166" fontId="15" fillId="3" borderId="0" xfId="0" applyNumberFormat="1" applyFont="1" applyFill="1" applyAlignment="1">
      <alignment horizontal="right" vertical="top" readingOrder="1"/>
    </xf>
    <xf numFmtId="3" fontId="8" fillId="3" borderId="4" xfId="0" applyNumberFormat="1" applyFont="1" applyFill="1" applyBorder="1"/>
    <xf numFmtId="3" fontId="0" fillId="3" borderId="4" xfId="0" applyNumberFormat="1" applyFill="1" applyBorder="1"/>
    <xf numFmtId="0" fontId="14" fillId="3" borderId="4" xfId="1" applyNumberFormat="1" applyFont="1" applyFill="1" applyBorder="1" applyAlignment="1"/>
    <xf numFmtId="0" fontId="10" fillId="5" borderId="6" xfId="0" applyFont="1" applyFill="1" applyBorder="1" applyAlignment="1">
      <alignment horizontal="center" wrapText="1"/>
    </xf>
    <xf numFmtId="0" fontId="10" fillId="5" borderId="7" xfId="0" applyFont="1" applyFill="1" applyBorder="1" applyAlignment="1">
      <alignment horizontal="center" wrapText="1"/>
    </xf>
    <xf numFmtId="0" fontId="10" fillId="5" borderId="8" xfId="0" applyFont="1" applyFill="1" applyBorder="1" applyAlignment="1">
      <alignment horizontal="center" wrapText="1"/>
    </xf>
  </cellXfs>
  <cellStyles count="6">
    <cellStyle name="Accent6" xfId="4" builtinId="49"/>
    <cellStyle name="Comma" xfId="5" builtinId="3"/>
    <cellStyle name="Currency" xfId="1" builtinId="4"/>
    <cellStyle name="Heading 4" xfId="3" builtinId="19"/>
    <cellStyle name="Normal" xfId="0" builtinId="0"/>
    <cellStyle name="Percent" xfId="2" builtinId="5"/>
  </cellStyles>
  <dxfs count="10"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indent="0" justifyLastLine="0" shrinkToFit="0" readingOrder="0"/>
    </dxf>
    <dxf>
      <alignment horizontal="general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eyenne Kilgore" id="{04E0C02E-014B-4C6E-BB4A-B55D827A8DDB}" userId="S::ckilgore@freedomwarranty.com::f51f65c2-0627-4d40-9d73-76a72e03c3b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FF8EDB-C14E-49D5-B4F5-5B28714D1B1F}" name="Table1" displayName="Table1" ref="E2:H11" totalsRowShown="0" headerRowDxfId="5" dataDxfId="4" headerRowCellStyle="Heading 4" dataCellStyle="Heading 4">
  <autoFilter ref="E2:H11" xr:uid="{C37682AB-B3B2-4610-A833-20AB62A9546B}">
    <filterColumn colId="0">
      <filters>
        <filter val="12 Months"/>
        <filter val="24 Months"/>
        <filter val="36 Months"/>
        <filter val="48 Months"/>
        <filter val="60 Months"/>
        <filter val="72 Months"/>
        <filter val="84 Months"/>
      </filters>
    </filterColumn>
  </autoFilter>
  <tableColumns count="4">
    <tableColumn id="1" xr3:uid="{69950EAD-A36E-4CF8-8496-D1E44F9A082C}" name="Months" dataDxfId="3" dataCellStyle="Heading 4"/>
    <tableColumn id="2" xr3:uid="{627ED638-0345-4479-BF1B-19822CA6D23C}" name="Miles" dataDxfId="2" dataCellStyle="Comma"/>
    <tableColumn id="3" xr3:uid="{B7C75D60-9E21-4A9A-BE06-B51A03EF6E5E}" name="Days" dataDxfId="1" dataCellStyle="Heading 4"/>
    <tableColumn id="4" xr3:uid="{DE20B8A9-13D6-40A4-B227-8D81A752C823}" name="Column1" dataDxfId="0" dataCellStyle="Heading 4">
      <calculatedColumnFormula>Table1[[#This Row],[Miles]]/Table1[[#This Row],[Days]]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3BA960-F81E-4CDD-A65F-203B2DF5C3F0}" name="Table12" displayName="Table12" ref="F3:G12" totalsRowShown="0" headerRowDxfId="9" dataDxfId="8" headerRowCellStyle="Heading 4" dataCellStyle="Heading 4">
  <autoFilter ref="F3:G12" xr:uid="{C37682AB-B3B2-4610-A833-20AB62A9546B}"/>
  <tableColumns count="2">
    <tableColumn id="1" xr3:uid="{C5A91822-DF97-465A-9853-E7274A75FC63}" name="Months" dataDxfId="7" dataCellStyle="Heading 4"/>
    <tableColumn id="3" xr3:uid="{3999D7D5-927A-4FD8-A421-82A6B60E0D38}" name="Days" dataDxfId="6" dataCellStyle="Heading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0-11-24T21:44:33.11" personId="{04E0C02E-014B-4C6E-BB4A-B55D827A8DDB}" id="{CD3DE7D0-38E2-47F7-B1DC-58065AA0E1A8}">
    <text>If term days are not in table you will use formula below.
Months divided by 12 = total
total multiplied by 365 = term days</text>
  </threadedComment>
  <threadedComment ref="C24" dT="2021-01-05T20:03:11.55" personId="{04E0C02E-014B-4C6E-BB4A-B55D827A8DDB}" id="{A8506ADE-CD3F-489B-B98A-97674CE3A94E}">
    <text>Difference between Freedom Warranty's cost to the client and the clients retail.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9F92-143D-4E36-A067-D8DB2D12D6A7}">
  <sheetPr>
    <pageSetUpPr fitToPage="1"/>
  </sheetPr>
  <dimension ref="B1:R81"/>
  <sheetViews>
    <sheetView zoomScale="90" zoomScaleNormal="90" workbookViewId="0">
      <selection activeCell="G41" sqref="G41"/>
    </sheetView>
  </sheetViews>
  <sheetFormatPr defaultColWidth="9.140625" defaultRowHeight="15" x14ac:dyDescent="0.25"/>
  <cols>
    <col min="1" max="1" width="28.5703125" customWidth="1"/>
    <col min="2" max="2" width="27.7109375" bestFit="1" customWidth="1"/>
    <col min="3" max="4" width="31.5703125" bestFit="1" customWidth="1"/>
    <col min="5" max="5" width="26.28515625" customWidth="1"/>
    <col min="6" max="6" width="17.85546875" bestFit="1" customWidth="1"/>
    <col min="7" max="8" width="20.140625" bestFit="1" customWidth="1"/>
    <col min="9" max="9" width="11.5703125" bestFit="1" customWidth="1"/>
    <col min="10" max="10" width="23.7109375" bestFit="1" customWidth="1"/>
    <col min="11" max="11" width="10.5703125" bestFit="1" customWidth="1"/>
    <col min="12" max="12" width="28.5703125" customWidth="1"/>
    <col min="13" max="13" width="9.7109375" bestFit="1" customWidth="1"/>
    <col min="14" max="14" width="10.5703125" customWidth="1"/>
    <col min="15" max="15" width="10.5703125" bestFit="1" customWidth="1"/>
    <col min="18" max="18" width="10.5703125" bestFit="1" customWidth="1"/>
  </cols>
  <sheetData>
    <row r="1" spans="2:18" ht="15.75" customHeight="1" x14ac:dyDescent="0.25">
      <c r="B1" s="47" t="s">
        <v>0</v>
      </c>
      <c r="C1" s="48"/>
      <c r="D1" s="48"/>
      <c r="E1" s="48"/>
      <c r="F1" s="48"/>
      <c r="G1" s="48"/>
      <c r="H1" s="48"/>
      <c r="I1" s="49"/>
    </row>
    <row r="2" spans="2:18" x14ac:dyDescent="0.25">
      <c r="B2" s="27"/>
      <c r="D2" t="s">
        <v>1</v>
      </c>
      <c r="E2" s="1" t="s">
        <v>2</v>
      </c>
      <c r="F2" s="1" t="s">
        <v>3</v>
      </c>
      <c r="G2" s="1" t="s">
        <v>4</v>
      </c>
      <c r="H2" s="2" t="s">
        <v>5</v>
      </c>
      <c r="I2" s="24"/>
    </row>
    <row r="3" spans="2:18" hidden="1" x14ac:dyDescent="0.25">
      <c r="B3" s="27"/>
      <c r="E3" s="1" t="s">
        <v>6</v>
      </c>
      <c r="F3" s="3">
        <v>3000</v>
      </c>
      <c r="G3" s="1">
        <v>90</v>
      </c>
      <c r="H3" s="2">
        <f>Table1[[#This Row],[Miles]]/Table1[[#This Row],[Days]]</f>
        <v>33.333333333333336</v>
      </c>
      <c r="I3" s="24"/>
    </row>
    <row r="4" spans="2:18" hidden="1" x14ac:dyDescent="0.25">
      <c r="B4" s="27"/>
      <c r="E4" s="1" t="s">
        <v>7</v>
      </c>
      <c r="F4" s="3">
        <v>6000</v>
      </c>
      <c r="G4" s="1">
        <v>180</v>
      </c>
      <c r="H4" s="2">
        <f>Table1[[#This Row],[Miles]]/Table1[[#This Row],[Days]]</f>
        <v>33.333333333333336</v>
      </c>
      <c r="I4" s="24"/>
    </row>
    <row r="5" spans="2:18" x14ac:dyDescent="0.25">
      <c r="B5" s="27"/>
      <c r="E5" s="1" t="s">
        <v>8</v>
      </c>
      <c r="F5" s="3">
        <v>15000</v>
      </c>
      <c r="G5" s="1">
        <v>365</v>
      </c>
      <c r="H5" s="2">
        <f>Table1[[#This Row],[Miles]]/Table1[[#This Row],[Days]]</f>
        <v>41.095890410958901</v>
      </c>
      <c r="I5" s="24"/>
    </row>
    <row r="6" spans="2:18" x14ac:dyDescent="0.25">
      <c r="B6" s="42"/>
      <c r="E6" s="1" t="s">
        <v>9</v>
      </c>
      <c r="F6" s="3">
        <v>30000</v>
      </c>
      <c r="G6" s="1">
        <v>730</v>
      </c>
      <c r="H6" s="2">
        <f>Table1[[#This Row],[Miles]]/Table1[[#This Row],[Days]]</f>
        <v>41.095890410958901</v>
      </c>
      <c r="I6" s="24"/>
    </row>
    <row r="7" spans="2:18" x14ac:dyDescent="0.25">
      <c r="B7" s="42"/>
      <c r="E7" s="1" t="s">
        <v>10</v>
      </c>
      <c r="F7" s="3">
        <v>50000</v>
      </c>
      <c r="G7" s="1">
        <v>1095</v>
      </c>
      <c r="H7" s="2">
        <f>Table1[[#This Row],[Miles]]/Table1[[#This Row],[Days]]</f>
        <v>45.662100456621005</v>
      </c>
      <c r="I7" s="24"/>
    </row>
    <row r="8" spans="2:18" x14ac:dyDescent="0.25">
      <c r="B8" s="27"/>
      <c r="E8" s="1" t="s">
        <v>11</v>
      </c>
      <c r="F8" s="3">
        <v>70000</v>
      </c>
      <c r="G8" s="1">
        <v>1460</v>
      </c>
      <c r="H8" s="2">
        <f>Table1[[#This Row],[Miles]]/Table1[[#This Row],[Days]]</f>
        <v>47.945205479452056</v>
      </c>
      <c r="I8" s="24"/>
    </row>
    <row r="9" spans="2:18" x14ac:dyDescent="0.25">
      <c r="B9" s="27"/>
      <c r="E9" s="1" t="s">
        <v>12</v>
      </c>
      <c r="F9" s="3">
        <v>100000</v>
      </c>
      <c r="G9" s="1">
        <v>1825</v>
      </c>
      <c r="H9" s="2">
        <f>Table1[[#This Row],[Miles]]/Table1[[#This Row],[Days]]</f>
        <v>54.794520547945204</v>
      </c>
      <c r="I9" s="24"/>
      <c r="N9" s="4"/>
      <c r="O9" s="4"/>
    </row>
    <row r="10" spans="2:18" x14ac:dyDescent="0.25">
      <c r="B10" s="27"/>
      <c r="E10" s="1" t="s">
        <v>13</v>
      </c>
      <c r="F10" s="3">
        <v>100000</v>
      </c>
      <c r="G10" s="1">
        <v>2190</v>
      </c>
      <c r="H10" s="2">
        <f>Table1[[#This Row],[Miles]]/Table1[[#This Row],[Days]]</f>
        <v>45.662100456621005</v>
      </c>
      <c r="I10" s="24"/>
    </row>
    <row r="11" spans="2:18" x14ac:dyDescent="0.25">
      <c r="B11" s="27"/>
      <c r="E11" s="1" t="s">
        <v>14</v>
      </c>
      <c r="F11" s="3">
        <v>100000</v>
      </c>
      <c r="G11" s="1">
        <v>2555</v>
      </c>
      <c r="H11" s="2">
        <f>Table1[[#This Row],[Miles]]/Table1[[#This Row],[Days]]</f>
        <v>39.138943248532293</v>
      </c>
      <c r="I11" s="24"/>
    </row>
    <row r="12" spans="2:18" x14ac:dyDescent="0.25">
      <c r="B12" s="27"/>
      <c r="I12" s="24"/>
    </row>
    <row r="13" spans="2:18" s="5" customFormat="1" x14ac:dyDescent="0.25">
      <c r="B13" s="28" t="s">
        <v>15</v>
      </c>
      <c r="D13" s="5" t="s">
        <v>16</v>
      </c>
      <c r="I13" s="35"/>
    </row>
    <row r="14" spans="2:18" x14ac:dyDescent="0.25">
      <c r="B14" s="44">
        <v>101520</v>
      </c>
      <c r="D14" s="6">
        <f>SUM(B14+B18)</f>
        <v>106520</v>
      </c>
      <c r="E14" s="7"/>
      <c r="I14" s="24"/>
      <c r="R14" s="8"/>
    </row>
    <row r="15" spans="2:18" x14ac:dyDescent="0.25">
      <c r="B15" s="28" t="s">
        <v>17</v>
      </c>
      <c r="D15" s="5" t="s">
        <v>18</v>
      </c>
      <c r="E15" s="5" t="s">
        <v>19</v>
      </c>
      <c r="I15" s="24"/>
      <c r="J15" s="9"/>
      <c r="L15" s="9"/>
      <c r="R15" s="8"/>
    </row>
    <row r="16" spans="2:18" x14ac:dyDescent="0.25">
      <c r="B16" s="36">
        <v>204145</v>
      </c>
      <c r="D16" s="6">
        <f>SUM(B16-B14)</f>
        <v>102625</v>
      </c>
      <c r="E16">
        <f>DATEDIF(B22,B24,"d")</f>
        <v>491</v>
      </c>
      <c r="I16" s="24"/>
      <c r="L16" s="9"/>
      <c r="R16" s="8"/>
    </row>
    <row r="17" spans="2:18" x14ac:dyDescent="0.25">
      <c r="B17" s="28" t="s">
        <v>20</v>
      </c>
      <c r="I17" s="24"/>
      <c r="L17" s="9"/>
      <c r="R17" s="8"/>
    </row>
    <row r="18" spans="2:18" x14ac:dyDescent="0.25">
      <c r="B18" s="37">
        <v>5000</v>
      </c>
      <c r="I18" s="25"/>
      <c r="J18" s="9"/>
    </row>
    <row r="19" spans="2:18" x14ac:dyDescent="0.25">
      <c r="B19" s="28" t="s">
        <v>21</v>
      </c>
      <c r="I19" s="25"/>
      <c r="J19" s="9"/>
    </row>
    <row r="20" spans="2:18" x14ac:dyDescent="0.25">
      <c r="B20" s="45">
        <v>1095</v>
      </c>
      <c r="I20" s="25"/>
      <c r="J20" s="9"/>
    </row>
    <row r="21" spans="2:18" x14ac:dyDescent="0.25">
      <c r="B21" s="28" t="s">
        <v>22</v>
      </c>
      <c r="I21" s="25"/>
      <c r="J21" s="9"/>
    </row>
    <row r="22" spans="2:18" x14ac:dyDescent="0.25">
      <c r="B22" s="38">
        <v>45468</v>
      </c>
      <c r="I22" s="25"/>
      <c r="J22" s="9"/>
    </row>
    <row r="23" spans="2:18" x14ac:dyDescent="0.25">
      <c r="B23" s="28" t="s">
        <v>23</v>
      </c>
      <c r="I23" s="25"/>
      <c r="J23" s="9"/>
    </row>
    <row r="24" spans="2:18" x14ac:dyDescent="0.25">
      <c r="B24" s="39">
        <v>45959</v>
      </c>
      <c r="I24" s="25"/>
      <c r="J24" s="9"/>
    </row>
    <row r="25" spans="2:18" x14ac:dyDescent="0.25">
      <c r="B25" s="28" t="s">
        <v>24</v>
      </c>
      <c r="D25" s="5" t="s">
        <v>25</v>
      </c>
      <c r="E25" s="5" t="s">
        <v>26</v>
      </c>
      <c r="F25" s="5" t="s">
        <v>27</v>
      </c>
      <c r="G25" s="5" t="s">
        <v>28</v>
      </c>
      <c r="H25" s="5" t="s">
        <v>29</v>
      </c>
      <c r="I25" s="25"/>
    </row>
    <row r="26" spans="2:18" x14ac:dyDescent="0.25">
      <c r="B26" s="41">
        <v>1928</v>
      </c>
      <c r="D26" s="10">
        <f>B18/B20</f>
        <v>4.5662100456621006</v>
      </c>
      <c r="E26" s="11">
        <f>E28/D26</f>
        <v>0.3856</v>
      </c>
      <c r="F26" s="12">
        <f>G26/B26</f>
        <v>20.524999999999999</v>
      </c>
      <c r="G26" s="13">
        <f>E26*D16</f>
        <v>39572.199999999997</v>
      </c>
      <c r="H26" s="13">
        <f>B28*F26</f>
        <v>21551.25</v>
      </c>
      <c r="I26" s="25"/>
      <c r="L26" s="8"/>
      <c r="N26" s="8"/>
    </row>
    <row r="27" spans="2:18" x14ac:dyDescent="0.25">
      <c r="B27" s="28" t="s">
        <v>30</v>
      </c>
      <c r="E27" s="5" t="s">
        <v>31</v>
      </c>
      <c r="F27" s="5" t="s">
        <v>27</v>
      </c>
      <c r="G27" s="5" t="s">
        <v>28</v>
      </c>
      <c r="H27" s="5" t="s">
        <v>29</v>
      </c>
      <c r="I27" s="25"/>
      <c r="J27" s="9"/>
      <c r="L27" s="8"/>
      <c r="N27" s="8"/>
    </row>
    <row r="28" spans="2:18" ht="18" customHeight="1" x14ac:dyDescent="0.25">
      <c r="B28" s="40">
        <v>1050</v>
      </c>
      <c r="E28" s="14">
        <f>B26/B20</f>
        <v>1.7607305936073059</v>
      </c>
      <c r="F28" s="15">
        <f>G28/B26</f>
        <v>0.44840182648401822</v>
      </c>
      <c r="G28" s="8">
        <f>E28*E16</f>
        <v>864.51872146118717</v>
      </c>
      <c r="H28" s="8">
        <f>F28*B28</f>
        <v>470.82191780821915</v>
      </c>
      <c r="I28" s="25"/>
      <c r="N28" s="8"/>
    </row>
    <row r="29" spans="2:18" x14ac:dyDescent="0.25">
      <c r="B29" s="32"/>
      <c r="I29" s="25"/>
    </row>
    <row r="30" spans="2:18" x14ac:dyDescent="0.25">
      <c r="B30" s="40">
        <v>50</v>
      </c>
      <c r="I30" s="25"/>
      <c r="J30" s="9"/>
    </row>
    <row r="31" spans="2:18" x14ac:dyDescent="0.25">
      <c r="B31" s="32" t="s">
        <v>32</v>
      </c>
      <c r="I31" s="25"/>
      <c r="J31" s="9"/>
    </row>
    <row r="32" spans="2:18" x14ac:dyDescent="0.25">
      <c r="B32" s="40">
        <v>0</v>
      </c>
      <c r="I32" s="25"/>
      <c r="J32" s="9"/>
    </row>
    <row r="33" spans="2:10" x14ac:dyDescent="0.25">
      <c r="B33" s="27"/>
      <c r="I33" s="25"/>
      <c r="J33" s="9"/>
    </row>
    <row r="34" spans="2:10" x14ac:dyDescent="0.25">
      <c r="B34" s="27"/>
      <c r="C34" s="5" t="s">
        <v>33</v>
      </c>
      <c r="D34" s="5" t="s">
        <v>34</v>
      </c>
      <c r="E34" s="16" t="s">
        <v>35</v>
      </c>
      <c r="I34" s="25"/>
      <c r="J34" s="9"/>
    </row>
    <row r="35" spans="2:10" x14ac:dyDescent="0.25">
      <c r="B35" s="28" t="s">
        <v>36</v>
      </c>
      <c r="C35" s="17">
        <f>B26-G26-B30-B32</f>
        <v>-37694.199999999997</v>
      </c>
      <c r="D35" s="17">
        <f>B28-H26</f>
        <v>-20501.25</v>
      </c>
      <c r="E35" s="8">
        <f>C35+D35</f>
        <v>-58195.45</v>
      </c>
      <c r="I35" s="25"/>
      <c r="J35" s="9"/>
    </row>
    <row r="36" spans="2:10" x14ac:dyDescent="0.25">
      <c r="B36" s="34" t="s">
        <v>37</v>
      </c>
      <c r="C36" s="22">
        <f>B26-G28-B30-B32</f>
        <v>1013.4812785388128</v>
      </c>
      <c r="D36" s="22">
        <f>B28-H28</f>
        <v>579.17808219178085</v>
      </c>
      <c r="E36" s="23">
        <f>D36+C36</f>
        <v>1592.6593607305936</v>
      </c>
      <c r="F36" s="20"/>
      <c r="G36" s="20"/>
      <c r="H36" s="20"/>
      <c r="I36" s="26"/>
      <c r="J36" s="9"/>
    </row>
    <row r="81" spans="12:13" x14ac:dyDescent="0.25">
      <c r="L81" s="4"/>
      <c r="M81" s="4"/>
    </row>
  </sheetData>
  <mergeCells count="1">
    <mergeCell ref="B1:I1"/>
  </mergeCells>
  <pageMargins left="0.7" right="0.7" top="0.75" bottom="0.75" header="0.3" footer="0.3"/>
  <pageSetup scale="65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41A0-2175-49B9-A03F-A4E099AF0373}">
  <sheetPr>
    <pageSetUpPr fitToPage="1"/>
  </sheetPr>
  <dimension ref="A2:S77"/>
  <sheetViews>
    <sheetView tabSelected="1" topLeftCell="C7" zoomScaleNormal="100" workbookViewId="0">
      <selection activeCell="E36" sqref="E36"/>
    </sheetView>
  </sheetViews>
  <sheetFormatPr defaultColWidth="9.140625" defaultRowHeight="15" x14ac:dyDescent="0.25"/>
  <cols>
    <col min="1" max="1" width="26.140625" hidden="1" customWidth="1"/>
    <col min="2" max="2" width="13.7109375" hidden="1" customWidth="1"/>
    <col min="3" max="3" width="29.42578125" customWidth="1"/>
    <col min="4" max="4" width="30.85546875" customWidth="1"/>
    <col min="5" max="5" width="31.5703125" bestFit="1" customWidth="1"/>
    <col min="6" max="6" width="26.28515625" customWidth="1"/>
    <col min="7" max="7" width="17.85546875" bestFit="1" customWidth="1"/>
    <col min="8" max="8" width="20.140625" bestFit="1" customWidth="1"/>
    <col min="9" max="9" width="19.28515625" customWidth="1"/>
    <col min="10" max="10" width="11.5703125" bestFit="1" customWidth="1"/>
    <col min="11" max="11" width="23.7109375" bestFit="1" customWidth="1"/>
    <col min="12" max="12" width="10.5703125" bestFit="1" customWidth="1"/>
    <col min="13" max="13" width="28.5703125" customWidth="1"/>
    <col min="14" max="14" width="9.7109375" bestFit="1" customWidth="1"/>
    <col min="15" max="15" width="10.5703125" customWidth="1"/>
    <col min="16" max="16" width="10.5703125" bestFit="1" customWidth="1"/>
    <col min="19" max="19" width="10.5703125" bestFit="1" customWidth="1"/>
  </cols>
  <sheetData>
    <row r="2" spans="3:19" ht="15.75" customHeight="1" x14ac:dyDescent="0.25">
      <c r="C2" s="47" t="s">
        <v>38</v>
      </c>
      <c r="D2" s="48"/>
      <c r="E2" s="48"/>
      <c r="F2" s="48"/>
      <c r="G2" s="48"/>
      <c r="H2" s="48"/>
      <c r="I2" s="48"/>
      <c r="J2" s="49"/>
    </row>
    <row r="3" spans="3:19" x14ac:dyDescent="0.25">
      <c r="C3" s="27"/>
      <c r="E3" t="s">
        <v>1</v>
      </c>
      <c r="F3" s="21" t="s">
        <v>2</v>
      </c>
      <c r="G3" s="21" t="s">
        <v>4</v>
      </c>
      <c r="J3" s="24"/>
    </row>
    <row r="4" spans="3:19" x14ac:dyDescent="0.25">
      <c r="C4" s="27"/>
      <c r="F4" s="21" t="s">
        <v>6</v>
      </c>
      <c r="G4" s="21">
        <v>90</v>
      </c>
      <c r="J4" s="24"/>
    </row>
    <row r="5" spans="3:19" x14ac:dyDescent="0.25">
      <c r="C5" s="42"/>
      <c r="F5" s="21" t="s">
        <v>7</v>
      </c>
      <c r="G5" s="21">
        <v>180</v>
      </c>
      <c r="J5" s="24"/>
    </row>
    <row r="6" spans="3:19" x14ac:dyDescent="0.25">
      <c r="C6" s="42"/>
      <c r="F6" s="21" t="s">
        <v>8</v>
      </c>
      <c r="G6" s="21">
        <v>365</v>
      </c>
      <c r="J6" s="24"/>
    </row>
    <row r="7" spans="3:19" x14ac:dyDescent="0.25">
      <c r="C7" s="27"/>
      <c r="F7" s="21" t="s">
        <v>9</v>
      </c>
      <c r="G7" s="21">
        <v>730</v>
      </c>
      <c r="J7" s="24"/>
    </row>
    <row r="8" spans="3:19" x14ac:dyDescent="0.25">
      <c r="C8" s="27"/>
      <c r="F8" s="21" t="s">
        <v>10</v>
      </c>
      <c r="G8" s="21">
        <v>1095</v>
      </c>
      <c r="J8" s="24"/>
    </row>
    <row r="9" spans="3:19" x14ac:dyDescent="0.25">
      <c r="C9" s="27"/>
      <c r="F9" s="21" t="s">
        <v>11</v>
      </c>
      <c r="G9" s="21">
        <v>1460</v>
      </c>
      <c r="J9" s="24"/>
    </row>
    <row r="10" spans="3:19" x14ac:dyDescent="0.25">
      <c r="C10" s="27"/>
      <c r="F10" s="21" t="s">
        <v>12</v>
      </c>
      <c r="G10" s="21">
        <v>1825</v>
      </c>
      <c r="J10" s="24"/>
      <c r="M10" s="4"/>
      <c r="N10" s="4"/>
    </row>
    <row r="11" spans="3:19" x14ac:dyDescent="0.25">
      <c r="C11" s="27"/>
      <c r="F11" s="21" t="s">
        <v>13</v>
      </c>
      <c r="G11" s="21">
        <v>2190</v>
      </c>
      <c r="J11" s="24"/>
    </row>
    <row r="12" spans="3:19" x14ac:dyDescent="0.25">
      <c r="C12" s="27"/>
      <c r="F12" s="21" t="s">
        <v>14</v>
      </c>
      <c r="G12" s="21">
        <v>2555</v>
      </c>
      <c r="J12" s="24"/>
    </row>
    <row r="13" spans="3:19" x14ac:dyDescent="0.25">
      <c r="C13" s="28"/>
      <c r="E13" s="5"/>
      <c r="F13" s="5" t="s">
        <v>19</v>
      </c>
      <c r="J13" s="24"/>
      <c r="K13" s="9"/>
      <c r="M13" s="9"/>
      <c r="S13" s="8"/>
    </row>
    <row r="14" spans="3:19" x14ac:dyDescent="0.25">
      <c r="C14" s="29"/>
      <c r="E14" s="6"/>
      <c r="F14">
        <f>DATEDIF(C18,C20,"d")</f>
        <v>1091</v>
      </c>
      <c r="J14" s="24"/>
      <c r="M14" s="9"/>
      <c r="S14" s="8"/>
    </row>
    <row r="15" spans="3:19" x14ac:dyDescent="0.25">
      <c r="C15" s="28" t="s">
        <v>39</v>
      </c>
      <c r="J15" s="25"/>
      <c r="K15" s="9"/>
    </row>
    <row r="16" spans="3:19" x14ac:dyDescent="0.25">
      <c r="C16" s="46">
        <v>1825</v>
      </c>
      <c r="J16" s="25"/>
      <c r="K16" s="9"/>
    </row>
    <row r="17" spans="3:15" x14ac:dyDescent="0.25">
      <c r="C17" s="28"/>
      <c r="J17" s="25"/>
      <c r="K17" s="9"/>
    </row>
    <row r="18" spans="3:15" x14ac:dyDescent="0.25">
      <c r="C18" s="30">
        <v>44989</v>
      </c>
      <c r="J18" s="25"/>
      <c r="K18" s="9"/>
    </row>
    <row r="19" spans="3:15" x14ac:dyDescent="0.25">
      <c r="C19" s="28"/>
      <c r="J19" s="25"/>
      <c r="K19" s="9"/>
    </row>
    <row r="20" spans="3:15" x14ac:dyDescent="0.25">
      <c r="C20" s="43">
        <v>46080</v>
      </c>
      <c r="J20" s="25"/>
      <c r="K20" s="9"/>
    </row>
    <row r="21" spans="3:15" x14ac:dyDescent="0.25">
      <c r="C21" s="28"/>
      <c r="E21" s="5"/>
      <c r="F21" s="5"/>
      <c r="G21" s="5"/>
      <c r="H21" s="5"/>
      <c r="I21" s="5"/>
      <c r="J21" s="25"/>
    </row>
    <row r="22" spans="3:15" x14ac:dyDescent="0.25">
      <c r="C22" s="31">
        <v>103</v>
      </c>
      <c r="D22" s="18" t="s">
        <v>40</v>
      </c>
      <c r="E22" s="10"/>
      <c r="F22" s="11"/>
      <c r="G22" s="12"/>
      <c r="H22" s="19"/>
      <c r="I22" s="19"/>
      <c r="J22" s="25"/>
      <c r="M22" s="8"/>
      <c r="O22" s="8"/>
    </row>
    <row r="23" spans="3:15" x14ac:dyDescent="0.25">
      <c r="C23" s="28"/>
      <c r="F23" s="5" t="s">
        <v>31</v>
      </c>
      <c r="G23" s="5" t="s">
        <v>27</v>
      </c>
      <c r="H23" s="5" t="s">
        <v>28</v>
      </c>
      <c r="I23" s="5" t="s">
        <v>29</v>
      </c>
      <c r="J23" s="25"/>
      <c r="K23" s="9"/>
      <c r="M23" s="8"/>
      <c r="O23" s="8"/>
    </row>
    <row r="24" spans="3:15" ht="18" customHeight="1" x14ac:dyDescent="0.25">
      <c r="C24" s="31">
        <v>855</v>
      </c>
      <c r="D24" t="s">
        <v>41</v>
      </c>
      <c r="F24" s="14">
        <f>C22/C16</f>
        <v>5.6438356164383564E-2</v>
      </c>
      <c r="G24" s="15">
        <f>H24/C22</f>
        <v>0.59780821917808225</v>
      </c>
      <c r="H24" s="8">
        <f>F24*F14</f>
        <v>61.574246575342471</v>
      </c>
      <c r="I24" s="8">
        <f>G24*C24</f>
        <v>511.12602739726032</v>
      </c>
      <c r="J24" s="25"/>
      <c r="O24" s="8"/>
    </row>
    <row r="25" spans="3:15" x14ac:dyDescent="0.25">
      <c r="C25" s="32" t="s">
        <v>43</v>
      </c>
      <c r="J25" s="25"/>
    </row>
    <row r="26" spans="3:15" x14ac:dyDescent="0.25">
      <c r="C26" s="31">
        <v>50</v>
      </c>
      <c r="D26" s="18" t="s">
        <v>42</v>
      </c>
      <c r="J26" s="25"/>
      <c r="K26" s="9"/>
    </row>
    <row r="27" spans="3:15" x14ac:dyDescent="0.25">
      <c r="C27" s="32"/>
      <c r="J27" s="25"/>
      <c r="K27" s="9"/>
    </row>
    <row r="28" spans="3:15" x14ac:dyDescent="0.25">
      <c r="C28" s="33"/>
      <c r="J28" s="25"/>
      <c r="K28" s="9"/>
    </row>
    <row r="29" spans="3:15" x14ac:dyDescent="0.25">
      <c r="C29" s="27"/>
      <c r="J29" s="25"/>
      <c r="K29" s="9"/>
    </row>
    <row r="30" spans="3:15" x14ac:dyDescent="0.25">
      <c r="C30" s="27"/>
      <c r="D30" s="5"/>
      <c r="E30" s="5"/>
      <c r="F30" s="16"/>
      <c r="J30" s="25"/>
      <c r="K30" s="9"/>
    </row>
    <row r="31" spans="3:15" x14ac:dyDescent="0.25">
      <c r="C31" s="28"/>
      <c r="D31" s="5" t="s">
        <v>33</v>
      </c>
      <c r="E31" s="5" t="s">
        <v>34</v>
      </c>
      <c r="F31" s="16" t="s">
        <v>35</v>
      </c>
      <c r="J31" s="25"/>
      <c r="K31" s="9"/>
    </row>
    <row r="32" spans="3:15" x14ac:dyDescent="0.25">
      <c r="C32" s="34" t="s">
        <v>37</v>
      </c>
      <c r="D32" s="22">
        <f>C22-H24-C26-C28</f>
        <v>-8.574246575342471</v>
      </c>
      <c r="E32" s="22">
        <f>C24-I24</f>
        <v>343.87397260273968</v>
      </c>
      <c r="F32" s="23">
        <f>E32+D32</f>
        <v>335.29972602739724</v>
      </c>
      <c r="G32" s="20"/>
      <c r="H32" s="20"/>
      <c r="I32" s="20"/>
      <c r="J32" s="26"/>
      <c r="K32" s="9"/>
    </row>
    <row r="77" spans="13:14" x14ac:dyDescent="0.25">
      <c r="M77" s="4"/>
      <c r="N77" s="4"/>
    </row>
  </sheetData>
  <mergeCells count="1">
    <mergeCell ref="C2:J2"/>
  </mergeCells>
  <pageMargins left="0.7" right="0.7" top="0.75" bottom="0.75" header="0.3" footer="0.3"/>
  <pageSetup scale="66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7C9FDB025744AB48308340CD267CD" ma:contentTypeVersion="7" ma:contentTypeDescription="Create a new document." ma:contentTypeScope="" ma:versionID="657f21659d71ef03377871218cdb19e7">
  <xsd:schema xmlns:xsd="http://www.w3.org/2001/XMLSchema" xmlns:xs="http://www.w3.org/2001/XMLSchema" xmlns:p="http://schemas.microsoft.com/office/2006/metadata/properties" xmlns:ns3="c4fd9e4b-a726-4737-a07a-5ce7ab24f815" targetNamespace="http://schemas.microsoft.com/office/2006/metadata/properties" ma:root="true" ma:fieldsID="a490abb67cc2904cdb4f07554cc478b0" ns3:_="">
    <xsd:import namespace="c4fd9e4b-a726-4737-a07a-5ce7ab24f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d9e4b-a726-4737-a07a-5ce7ab24f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E58C78-65E1-4C40-A9F8-638B8C7545B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c4fd9e4b-a726-4737-a07a-5ce7ab24f815"/>
    <ds:schemaRef ds:uri="http://schemas.microsoft.com/office/infopath/2007/PartnerControls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AC97A5C-5B60-407D-9DA1-0E5231E27C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d9e4b-a726-4737-a07a-5ce7ab24f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EF1DC4-6A09-4BE4-BB03-A1A580CA13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Freedom</vt:lpstr>
      <vt:lpstr>GAP</vt:lpstr>
      <vt:lpstr>Freedom!Print_Area</vt:lpstr>
      <vt:lpstr>GAP!Print_Area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Freedom</dc:creator>
  <cp:keywords/>
  <dc:description/>
  <cp:lastModifiedBy>Jackie Wallace</cp:lastModifiedBy>
  <cp:revision/>
  <dcterms:created xsi:type="dcterms:W3CDTF">2018-03-28T20:14:21Z</dcterms:created>
  <dcterms:modified xsi:type="dcterms:W3CDTF">2026-04-07T18:12:46Z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0x0101008E87C9FDB025744AB48308340CD267CD</vt:lpwstr>
  </property>
  <property fmtid="{D5CDD505-2E9C-101B-9397-08002B2CF9AE}" pid="3" name="AuthorIds_UIVersion_34816">
    <vt:lpwstr>16</vt:lpwstr>
  </property>
  <property fmtid="{D5CDD505-2E9C-101B-9397-08002B2CF9AE}" pid="4" name="AuthorIds_UIVersion_55808">
    <vt:lpwstr>16</vt:lpwstr>
  </property>
</Properties>
</file>